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Supervisor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F4E79"/>
      <sz val="16"/>
    </font>
    <font>
      <name val="Segoe UI"/>
      <b val="1"/>
      <sz val="11"/>
    </font>
    <font>
      <name val="Segoe UI"/>
      <b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2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74" customWidth="1" min="2" max="2"/>
    <col width="119" customWidth="1" min="3" max="3"/>
    <col width="119" customWidth="1" min="4" max="4"/>
    <col width="119" customWidth="1" min="5" max="5"/>
    <col width="27" customWidth="1" min="6" max="6"/>
  </cols>
  <sheetData>
    <row r="1"/>
    <row r="2">
      <c r="B2" s="1" t="inlineStr">
        <is>
          <t>PLANT PRODUCTION &amp; QUALITY DASHBOARD</t>
        </is>
      </c>
    </row>
    <row r="3"/>
    <row r="4">
      <c r="B4" s="2" t="inlineStr">
        <is>
          <t>SELECT DATE (DD-MM-YYYY):</t>
        </is>
      </c>
      <c r="C4" s="3" t="inlineStr">
        <is>
          <t>01-07-2026</t>
        </is>
      </c>
    </row>
    <row r="5"/>
    <row r="6">
      <c r="B6" s="4" t="inlineStr">
        <is>
          <t>TOTAL PRODUCED</t>
        </is>
      </c>
      <c r="C6" s="4" t="inlineStr">
        <is>
          <t>TOTAL FRESH</t>
        </is>
      </c>
      <c r="D6" s="4" t="inlineStr">
        <is>
          <t>TOTAL SECONDS</t>
        </is>
      </c>
      <c r="E6" s="4" t="inlineStr">
        <is>
          <t>FRESH YIELD %</t>
        </is>
      </c>
    </row>
    <row r="7">
      <c r="B7" s="5">
        <f>SUMIFS('Supervisor Entry'!E2:E100, 'Supervisor Entry'!A2:A100, $C$4)</f>
        <v/>
      </c>
      <c r="C7" s="5">
        <f>SUMIFS('Supervisor Entry'!F2:F100, 'Supervisor Entry'!A2:A100, $C$4)</f>
        <v/>
      </c>
      <c r="D7" s="5">
        <f>SUMIFS('Supervisor Entry'!G2:G100, 'Supervisor Entry'!A2:A100, $C$4)</f>
        <v/>
      </c>
      <c r="E7" s="6">
        <f>IF(B7&gt;0, C7/B7, 0)</f>
        <v/>
      </c>
    </row>
    <row r="8"/>
    <row r="9"/>
    <row r="10">
      <c r="B10" s="2" t="inlineStr">
        <is>
          <t>ITEM WISE QUALITY REPORT</t>
        </is>
      </c>
    </row>
    <row r="11">
      <c r="B11" s="7" t="inlineStr">
        <is>
          <t>ITEM TYPE</t>
        </is>
      </c>
      <c r="C11" s="7" t="inlineStr">
        <is>
          <t>TOTAL PRODUCED</t>
        </is>
      </c>
      <c r="D11" s="7" t="inlineStr">
        <is>
          <t>FRESH (GRADE A)</t>
        </is>
      </c>
      <c r="E11" s="7" t="inlineStr">
        <is>
          <t>SECONDS (GRADE B)</t>
        </is>
      </c>
      <c r="F11" s="7" t="inlineStr">
        <is>
          <t>FRESH %</t>
        </is>
      </c>
    </row>
    <row r="12">
      <c r="B12" s="8" t="inlineStr">
        <is>
          <t>SAREE</t>
        </is>
      </c>
      <c r="C12" s="9">
        <f>SUMIFS('Supervisor Entry'!$E$2:$E$100, 'Supervisor Entry'!$D$2:$D$100, B12, 'Supervisor Entry'!$A$2:$A$100, $C$4)</f>
        <v/>
      </c>
      <c r="D12" s="9">
        <f>SUMIFS('Supervisor Entry'!$F$2:$F$100, 'Supervisor Entry'!$D$2:$D$100, B12, 'Supervisor Entry'!$A$2:$A$100, $C$4)</f>
        <v/>
      </c>
      <c r="E12" s="9">
        <f>SUMIFS('Supervisor Entry'!$G$2:$G$100, 'Supervisor Entry'!$D$2:$D$100, B12, 'Supervisor Entry'!$A$2:$A$100, $C$4)</f>
        <v/>
      </c>
      <c r="F12" s="10">
        <f>IF(C12&gt;0, D12/C12, 0)</f>
        <v/>
      </c>
    </row>
    <row r="13">
      <c r="B13" s="8" t="inlineStr">
        <is>
          <t>SUIT</t>
        </is>
      </c>
      <c r="C13" s="9">
        <f>SUMIFS('Supervisor Entry'!$E$2:$E$100, 'Supervisor Entry'!$D$2:$D$100, B13, 'Supervisor Entry'!$A$2:$A$100, $C$4)</f>
        <v/>
      </c>
      <c r="D13" s="9">
        <f>SUMIFS('Supervisor Entry'!$F$2:$F$100, 'Supervisor Entry'!$D$2:$D$100, B13, 'Supervisor Entry'!$A$2:$A$100, $C$4)</f>
        <v/>
      </c>
      <c r="E13" s="9">
        <f>SUMIFS('Supervisor Entry'!$G$2:$G$100, 'Supervisor Entry'!$D$2:$D$100, B13, 'Supervisor Entry'!$A$2:$A$100, $C$4)</f>
        <v/>
      </c>
      <c r="F13" s="10">
        <f>IF(C13&gt;0, D13/C13, 0)</f>
        <v/>
      </c>
    </row>
    <row r="14">
      <c r="B14" s="8" t="inlineStr">
        <is>
          <t>DUPATTA</t>
        </is>
      </c>
      <c r="C14" s="9">
        <f>SUMIFS('Supervisor Entry'!$E$2:$E$100, 'Supervisor Entry'!$D$2:$D$100, B14, 'Supervisor Entry'!$A$2:$A$100, $C$4)</f>
        <v/>
      </c>
      <c r="D14" s="9">
        <f>SUMIFS('Supervisor Entry'!$F$2:$F$100, 'Supervisor Entry'!$D$2:$D$100, B14, 'Supervisor Entry'!$A$2:$A$100, $C$4)</f>
        <v/>
      </c>
      <c r="E14" s="9">
        <f>SUMIFS('Supervisor Entry'!$G$2:$G$100, 'Supervisor Entry'!$D$2:$D$100, B14, 'Supervisor Entry'!$A$2:$A$100, $C$4)</f>
        <v/>
      </c>
      <c r="F14" s="10">
        <f>IF(C14&gt;0, D14/C14, 0)</f>
        <v/>
      </c>
    </row>
    <row r="15">
      <c r="B15" s="8" t="inlineStr">
        <is>
          <t>ONLY TOP</t>
        </is>
      </c>
      <c r="C15" s="9">
        <f>SUMIFS('Supervisor Entry'!$E$2:$E$100, 'Supervisor Entry'!$D$2:$D$100, B15, 'Supervisor Entry'!$A$2:$A$100, $C$4)</f>
        <v/>
      </c>
      <c r="D15" s="9">
        <f>SUMIFS('Supervisor Entry'!$F$2:$F$100, 'Supervisor Entry'!$D$2:$D$100, B15, 'Supervisor Entry'!$A$2:$A$100, $C$4)</f>
        <v/>
      </c>
      <c r="E15" s="9">
        <f>SUMIFS('Supervisor Entry'!$G$2:$G$100, 'Supervisor Entry'!$D$2:$D$100, B15, 'Supervisor Entry'!$A$2:$A$100, $C$4)</f>
        <v/>
      </c>
      <c r="F15" s="10">
        <f>IF(C15&gt;0, D15/C15, 0)</f>
        <v/>
      </c>
    </row>
    <row r="16">
      <c r="B16" s="8" t="inlineStr">
        <is>
          <t>CT TCC</t>
        </is>
      </c>
      <c r="C16" s="9">
        <f>SUMIFS('Supervisor Entry'!$E$2:$E$100, 'Supervisor Entry'!$D$2:$D$100, B16, 'Supervisor Entry'!$A$2:$A$100, $C$4)</f>
        <v/>
      </c>
      <c r="D16" s="9">
        <f>SUMIFS('Supervisor Entry'!$F$2:$F$100, 'Supervisor Entry'!$D$2:$D$100, B16, 'Supervisor Entry'!$A$2:$A$100, $C$4)</f>
        <v/>
      </c>
      <c r="E16" s="9">
        <f>SUMIFS('Supervisor Entry'!$G$2:$G$100, 'Supervisor Entry'!$D$2:$D$100, B16, 'Supervisor Entry'!$A$2:$A$100, $C$4)</f>
        <v/>
      </c>
      <c r="F16" s="10">
        <f>IF(C16&gt;0, D16/C16, 0)</f>
        <v/>
      </c>
    </row>
    <row r="17"/>
    <row r="18"/>
    <row r="19">
      <c r="B19" s="2" t="inlineStr">
        <is>
          <t>SUPERVISOR PERFORMANCE REPORT</t>
        </is>
      </c>
    </row>
    <row r="20">
      <c r="B20" s="7" t="inlineStr">
        <is>
          <t>SUPERVISOR NAME</t>
        </is>
      </c>
      <c r="C20" s="7" t="inlineStr">
        <is>
          <t>TOTAL PRODUCTION</t>
        </is>
      </c>
      <c r="D20" s="7" t="inlineStr">
        <is>
          <t>FRESH PCS</t>
        </is>
      </c>
      <c r="E20" s="7" t="inlineStr">
        <is>
          <t>SECONDS PCS</t>
        </is>
      </c>
      <c r="F20" s="7" t="inlineStr">
        <is>
          <t>FRESH %</t>
        </is>
      </c>
    </row>
    <row r="21">
      <c r="B21" s="8" t="inlineStr">
        <is>
          <t>Ramesh</t>
        </is>
      </c>
      <c r="C21" s="9">
        <f>SUMIFS('Supervisor Entry'!$E$2:$E$100, 'Supervisor Entry'!$H$2:$H$100, B21, 'Supervisor Entry'!$A$2:$A$100, $C$4)</f>
        <v/>
      </c>
      <c r="D21" s="9">
        <f>SUMIFS('Supervisor Entry'!$F$2:$F$100, 'Supervisor Entry'!$H$2:$H$100, B21, 'Supervisor Entry'!$A$2:$A$100, $C$4)</f>
        <v/>
      </c>
      <c r="E21" s="9">
        <f>SUMIFS('Supervisor Entry'!$G$2:$G$100, 'Supervisor Entry'!$H$2:$H$100, B21, 'Supervisor Entry'!$A$2:$A$100, $C$4)</f>
        <v/>
      </c>
      <c r="F21" s="10">
        <f>IF(C21&gt;0, D21/C21, 0)</f>
        <v/>
      </c>
    </row>
    <row r="22">
      <c r="B22" s="8" t="inlineStr">
        <is>
          <t>Suresh</t>
        </is>
      </c>
      <c r="C22" s="9">
        <f>SUMIFS('Supervisor Entry'!$E$2:$E$100, 'Supervisor Entry'!$H$2:$H$100, B22, 'Supervisor Entry'!$A$2:$A$100, $C$4)</f>
        <v/>
      </c>
      <c r="D22" s="9">
        <f>SUMIFS('Supervisor Entry'!$F$2:$F$100, 'Supervisor Entry'!$H$2:$H$100, B22, 'Supervisor Entry'!$A$2:$A$100, $C$4)</f>
        <v/>
      </c>
      <c r="E22" s="9">
        <f>SUMIFS('Supervisor Entry'!$G$2:$G$100, 'Supervisor Entry'!$H$2:$H$100, B22, 'Supervisor Entry'!$A$2:$A$100, $C$4)</f>
        <v/>
      </c>
      <c r="F22" s="10">
        <f>IF(C22&gt;0, D22/C22, 0)</f>
        <v/>
      </c>
    </row>
    <row r="23"/>
    <row r="24"/>
    <row r="25">
      <c r="B25" s="2" t="inlineStr">
        <is>
          <t>PARTY WISE PRODUCTION &amp; QUALITY REPORT</t>
        </is>
      </c>
    </row>
    <row r="26">
      <c r="B26" s="7" t="inlineStr">
        <is>
          <t>PARTY NAME</t>
        </is>
      </c>
      <c r="C26" s="7" t="inlineStr">
        <is>
          <t>TOTAL PRODUCTION</t>
        </is>
      </c>
      <c r="D26" s="7" t="inlineStr">
        <is>
          <t>FRESH PCS</t>
        </is>
      </c>
      <c r="E26" s="7" t="inlineStr">
        <is>
          <t>SECONDS PCS</t>
        </is>
      </c>
      <c r="F26" s="7" t="inlineStr">
        <is>
          <t>FRESH %</t>
        </is>
      </c>
    </row>
    <row r="27">
      <c r="B27" s="8" t="inlineStr">
        <is>
          <t>Krishna Textiles</t>
        </is>
      </c>
      <c r="C27" s="9">
        <f>SUMIFS('Supervisor Entry'!$E$2:$E$100, 'Supervisor Entry'!$C$2:$C$100, B27, 'Supervisor Entry'!$A$2:$A$100, $C$4)</f>
        <v/>
      </c>
      <c r="D27" s="9">
        <f>SUMIFS('Supervisor Entry'!$F$2:$F$100, 'Supervisor Entry'!$C$2:$C$100, B27, 'Supervisor Entry'!$A$2:$A$100, $C$4)</f>
        <v/>
      </c>
      <c r="E27" s="9">
        <f>SUMIFS('Supervisor Entry'!$G$2:$G$100, 'Supervisor Entry'!$C$2:$C$100, B27, 'Supervisor Entry'!$A$2:$A$100, $C$4)</f>
        <v/>
      </c>
      <c r="F27" s="10">
        <f>IF(C27&gt;0, D27/C27, 0)</f>
        <v/>
      </c>
    </row>
    <row r="28">
      <c r="B28" s="8" t="inlineStr">
        <is>
          <t>Balaji Fabrics</t>
        </is>
      </c>
      <c r="C28" s="9">
        <f>SUMIFS('Supervisor Entry'!$E$2:$E$100, 'Supervisor Entry'!$C$2:$C$100, B28, 'Supervisor Entry'!$A$2:$A$100, $C$4)</f>
        <v/>
      </c>
      <c r="D28" s="9">
        <f>SUMIFS('Supervisor Entry'!$F$2:$F$100, 'Supervisor Entry'!$C$2:$C$100, B28, 'Supervisor Entry'!$A$2:$A$100, $C$4)</f>
        <v/>
      </c>
      <c r="E28" s="9">
        <f>SUMIFS('Supervisor Entry'!$G$2:$G$100, 'Supervisor Entry'!$C$2:$C$100, B28, 'Supervisor Entry'!$A$2:$A$100, $C$4)</f>
        <v/>
      </c>
      <c r="F28" s="10">
        <f>IF(C28&gt;0, D28/C28, 0)</f>
        <v/>
      </c>
    </row>
    <row r="29">
      <c r="B29" s="8" t="inlineStr">
        <is>
          <t>Radhe Shyam Corp</t>
        </is>
      </c>
      <c r="C29" s="9">
        <f>SUMIFS('Supervisor Entry'!$E$2:$E$100, 'Supervisor Entry'!$C$2:$C$100, B29, 'Supervisor Entry'!$A$2:$A$100, $C$4)</f>
        <v/>
      </c>
      <c r="D29" s="9">
        <f>SUMIFS('Supervisor Entry'!$F$2:$F$100, 'Supervisor Entry'!$C$2:$C$100, B29, 'Supervisor Entry'!$A$2:$A$100, $C$4)</f>
        <v/>
      </c>
      <c r="E29" s="9">
        <f>SUMIFS('Supervisor Entry'!$G$2:$G$100, 'Supervisor Entry'!$C$2:$C$100, B29, 'Supervisor Entry'!$A$2:$A$100, $C$4)</f>
        <v/>
      </c>
      <c r="F29" s="10">
        <f>IF(C29&gt;0, D29/C29, 0)</f>
        <v/>
      </c>
    </row>
    <row r="30">
      <c r="B30" s="8" t="inlineStr">
        <is>
          <t>Add Party 4</t>
        </is>
      </c>
      <c r="C30" s="9">
        <f>SUMIFS('Supervisor Entry'!$E$2:$E$100, 'Supervisor Entry'!$C$2:$C$100, B30, 'Supervisor Entry'!$A$2:$A$100, $C$4)</f>
        <v/>
      </c>
      <c r="D30" s="9">
        <f>SUMIFS('Supervisor Entry'!$F$2:$F$100, 'Supervisor Entry'!$C$2:$C$100, B30, 'Supervisor Entry'!$A$2:$A$100, $C$4)</f>
        <v/>
      </c>
      <c r="E30" s="9">
        <f>SUMIFS('Supervisor Entry'!$G$2:$G$100, 'Supervisor Entry'!$C$2:$C$100, B30, 'Supervisor Entry'!$A$2:$A$100, $C$4)</f>
        <v/>
      </c>
      <c r="F30" s="10">
        <f>IF(C30&gt;0, D30/C30, 0)</f>
        <v/>
      </c>
    </row>
    <row r="31">
      <c r="B31" s="8" t="inlineStr">
        <is>
          <t>Add Party 5</t>
        </is>
      </c>
      <c r="C31" s="9">
        <f>SUMIFS('Supervisor Entry'!$E$2:$E$100, 'Supervisor Entry'!$C$2:$C$100, B31, 'Supervisor Entry'!$A$2:$A$100, $C$4)</f>
        <v/>
      </c>
      <c r="D31" s="9">
        <f>SUMIFS('Supervisor Entry'!$F$2:$F$100, 'Supervisor Entry'!$C$2:$C$100, B31, 'Supervisor Entry'!$A$2:$A$100, $C$4)</f>
        <v/>
      </c>
      <c r="E31" s="9">
        <f>SUMIFS('Supervisor Entry'!$G$2:$G$100, 'Supervisor Entry'!$C$2:$C$100, B31, 'Supervisor Entry'!$A$2:$A$100, $C$4)</f>
        <v/>
      </c>
      <c r="F31" s="10">
        <f>IF(C31&gt;0, D31/C31, 0)</f>
        <v/>
      </c>
    </row>
  </sheetData>
  <dataValidations count="1">
    <dataValidation sqref="C4" showDropDown="0" showInputMessage="0" showErrorMessage="0" allowBlank="1" type="list">
      <formula1>"01-07-2026,02-07-2026,03-07-2026,04-07-2026,05-07-2026,06-07-2026,07-07-2026"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1" t="inlineStr">
        <is>
          <t>DATE</t>
        </is>
      </c>
      <c r="B1" s="11" t="inlineStr">
        <is>
          <t>DESIGN NO.</t>
        </is>
      </c>
      <c r="C1" s="11" t="inlineStr">
        <is>
          <t>PARTY NAME</t>
        </is>
      </c>
      <c r="D1" s="11" t="inlineStr">
        <is>
          <t>ITEM TYPE</t>
        </is>
      </c>
      <c r="E1" s="11" t="inlineStr">
        <is>
          <t>TOTAL PCS</t>
        </is>
      </c>
      <c r="F1" s="11" t="inlineStr">
        <is>
          <t>FRESH PCS</t>
        </is>
      </c>
      <c r="G1" s="11" t="inlineStr">
        <is>
          <t>SECONDS PCS</t>
        </is>
      </c>
      <c r="H1" s="11" t="inlineStr">
        <is>
          <t>SUPERVISOR NAME</t>
        </is>
      </c>
    </row>
    <row r="2">
      <c r="A2" s="8" t="inlineStr">
        <is>
          <t>01-07-2026</t>
        </is>
      </c>
      <c r="B2" s="8" t="inlineStr">
        <is>
          <t>DS-1001</t>
        </is>
      </c>
      <c r="C2" s="8" t="inlineStr">
        <is>
          <t>Krishna Textiles</t>
        </is>
      </c>
      <c r="D2" s="8" t="inlineStr">
        <is>
          <t>SAREE</t>
        </is>
      </c>
      <c r="E2" s="9" t="n">
        <v>138</v>
      </c>
      <c r="F2" s="9" t="n">
        <v>130</v>
      </c>
      <c r="G2" s="9" t="n">
        <v>8</v>
      </c>
      <c r="H2" s="8" t="inlineStr">
        <is>
          <t>Ramesh</t>
        </is>
      </c>
    </row>
    <row r="3">
      <c r="A3" s="8" t="inlineStr">
        <is>
          <t>01-07-2026</t>
        </is>
      </c>
      <c r="B3" s="8" t="inlineStr">
        <is>
          <t>DS-1001</t>
        </is>
      </c>
      <c r="C3" s="8" t="inlineStr">
        <is>
          <t>Krishna Textiles</t>
        </is>
      </c>
      <c r="D3" s="8" t="inlineStr">
        <is>
          <t>SUIT</t>
        </is>
      </c>
      <c r="E3" s="9" t="n">
        <v>22</v>
      </c>
      <c r="F3" s="9" t="n">
        <v>20</v>
      </c>
      <c r="G3" s="9" t="n">
        <v>2</v>
      </c>
      <c r="H3" s="8" t="inlineStr">
        <is>
          <t>Ramesh</t>
        </is>
      </c>
    </row>
    <row r="4">
      <c r="A4" s="8" t="inlineStr">
        <is>
          <t>01-07-2026</t>
        </is>
      </c>
      <c r="B4" s="8" t="inlineStr">
        <is>
          <t>DS-1001</t>
        </is>
      </c>
      <c r="C4" s="8" t="inlineStr">
        <is>
          <t>Krishna Textiles</t>
        </is>
      </c>
      <c r="D4" s="8" t="inlineStr">
        <is>
          <t>DUPATTA</t>
        </is>
      </c>
      <c r="E4" s="9" t="n">
        <v>53</v>
      </c>
      <c r="F4" s="9" t="n">
        <v>52</v>
      </c>
      <c r="G4" s="9" t="n">
        <v>1</v>
      </c>
      <c r="H4" s="8" t="inlineStr">
        <is>
          <t>Ramesh</t>
        </is>
      </c>
    </row>
    <row r="5">
      <c r="A5" s="8" t="inlineStr">
        <is>
          <t>01-07-2026</t>
        </is>
      </c>
      <c r="B5" s="8" t="inlineStr">
        <is>
          <t>DS-1002</t>
        </is>
      </c>
      <c r="C5" s="8" t="inlineStr">
        <is>
          <t>Balaji Fabrics</t>
        </is>
      </c>
      <c r="D5" s="8" t="inlineStr">
        <is>
          <t>SAREE</t>
        </is>
      </c>
      <c r="E5" s="9" t="n">
        <v>173</v>
      </c>
      <c r="F5" s="9" t="n">
        <v>160</v>
      </c>
      <c r="G5" s="9" t="n">
        <v>13</v>
      </c>
      <c r="H5" s="8" t="inlineStr">
        <is>
          <t>Suresh</t>
        </is>
      </c>
    </row>
    <row r="6">
      <c r="A6" s="8" t="inlineStr">
        <is>
          <t>01-07-2026</t>
        </is>
      </c>
      <c r="B6" s="8" t="inlineStr">
        <is>
          <t>DS-1002</t>
        </is>
      </c>
      <c r="C6" s="8" t="inlineStr">
        <is>
          <t>Balaji Fabrics</t>
        </is>
      </c>
      <c r="D6" s="8" t="inlineStr">
        <is>
          <t>SUIT</t>
        </is>
      </c>
      <c r="E6" s="9" t="n">
        <v>14</v>
      </c>
      <c r="F6" s="9" t="n">
        <v>12</v>
      </c>
      <c r="G6" s="9" t="n">
        <v>2</v>
      </c>
      <c r="H6" s="8" t="inlineStr">
        <is>
          <t>Suresh</t>
        </is>
      </c>
    </row>
    <row r="7">
      <c r="A7" s="8" t="inlineStr">
        <is>
          <t>02-07-2026</t>
        </is>
      </c>
      <c r="B7" s="8" t="inlineStr">
        <is>
          <t>DS-1003</t>
        </is>
      </c>
      <c r="C7" s="8" t="inlineStr">
        <is>
          <t>Radhe Shyam Corp</t>
        </is>
      </c>
      <c r="D7" s="8" t="inlineStr">
        <is>
          <t>SAREE</t>
        </is>
      </c>
      <c r="E7" s="9" t="n">
        <v>188</v>
      </c>
      <c r="F7" s="9" t="n">
        <v>180</v>
      </c>
      <c r="G7" s="9" t="n">
        <v>8</v>
      </c>
      <c r="H7" s="8" t="inlineStr">
        <is>
          <t>Ramesh</t>
        </is>
      </c>
    </row>
    <row r="8">
      <c r="A8" s="8" t="inlineStr">
        <is>
          <t>02-07-2026</t>
        </is>
      </c>
      <c r="B8" s="8" t="inlineStr">
        <is>
          <t>DS-1004</t>
        </is>
      </c>
      <c r="C8" s="8" t="inlineStr">
        <is>
          <t>Krishna Textiles</t>
        </is>
      </c>
      <c r="D8" s="8" t="inlineStr">
        <is>
          <t>SUIT</t>
        </is>
      </c>
      <c r="E8" s="9" t="n">
        <v>100</v>
      </c>
      <c r="F8" s="9" t="n">
        <v>95</v>
      </c>
      <c r="G8" s="9" t="n">
        <v>5</v>
      </c>
      <c r="H8" s="8" t="inlineStr">
        <is>
          <t>Suresh</t>
        </is>
      </c>
    </row>
  </sheetData>
  <dataValidations count="3">
    <dataValidation sqref="C2:C1000" showDropDown="0" showInputMessage="0" showErrorMessage="0" allowBlank="1" type="list">
      <formula1>"Krishna Textiles,Balaji Fabrics,Radhe Shyam Corp,Add Party 4,Add Party 5"</formula1>
    </dataValidation>
    <dataValidation sqref="D2:D1000" showDropDown="0" showInputMessage="0" showErrorMessage="0" allowBlank="1" type="list">
      <formula1>"SAREE,SUIT,DUPATTA,ONLY TOP,CT TCC"</formula1>
    </dataValidation>
    <dataValidation sqref="H2:H1000" showDropDown="0" showInputMessage="0" showErrorMessage="0" allowBlank="1" type="list">
      <formula1>"Ramesh,Suresh,Supervisor 3,Supervisor 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2026-07-02T04:13:07Z</dcterms:created>
  <dcterms:modified xmlns:dcterms="http://purl.org/dc/terms/" xmlns:xsi="http://www.w3.org/2001/XMLSchema-instance" xsi:type="dcterms:W3CDTF">2026-07-02T04:13:07Z</dcterms:modified>
</cp:coreProperties>
</file>